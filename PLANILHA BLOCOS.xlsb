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slicers/slicer1.bin" ContentType="application/vnd.ms-excel.slicer"/>
  <Override PartName="/xl/comments1.bin" ContentType="application/vnd.ms-excel.comments"/>
  <Override PartName="/xl/pivotTables/pivotTable1.bin" ContentType="application/vnd.ms-excel.pivotTable"/>
  <Override PartName="/xl/drawings/drawing2.xml" ContentType="application/vnd.openxmlformats-officedocument.drawing+xml"/>
  <Override PartName="/xl/slicers/slicer2.bin" ContentType="application/vnd.ms-excel.slicer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pivotTables/pivotTable5.bin" ContentType="application/vnd.ms-excel.pivotTable"/>
  <Override PartName="/xl/drawings/drawing3.xml" ContentType="application/vnd.openxmlformats-officedocument.drawing+xml"/>
  <Override PartName="/xl/slicers/slicer3.bin" ContentType="application/vnd.ms-excel.slicer"/>
  <Override PartName="/xl/pivotTables/pivotTable6.bin" ContentType="application/vnd.ms-excel.pivotTable"/>
  <Override PartName="/xl/drawings/drawing4.xml" ContentType="application/vnd.openxmlformats-officedocument.drawing+xml"/>
  <Override PartName="/xl/slicers/slicer4.bin" ContentType="application/vnd.ms-excel.slicer"/>
  <Override PartName="/xl/pivotTables/pivotTable7.bin" ContentType="application/vnd.ms-excel.pivotTable"/>
  <Override PartName="/xl/drawings/drawing5.xml" ContentType="application/vnd.openxmlformats-officedocument.drawing+xml"/>
  <Override PartName="/xl/slicers/slicer5.bin" ContentType="application/vnd.ms-excel.slicer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0.bin" ContentType="application/vnd.ms-excel.pivotTable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8.xml" ContentType="application/vnd.openxmlformats-officedocument.drawing+xml"/>
  <Override PartName="/xl/slicers/slicer6.bin" ContentType="application/vnd.ms-excel.slicer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pivotTables/pivotTable21.bin" ContentType="application/vnd.ms-excel.pivotTable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slicers/slicer7.bin" ContentType="application/vnd.ms-excel.slicer"/>
  <Override PartName="/xl/pivotTables/pivotTable22.bin" ContentType="application/vnd.ms-excel.pivotTable"/>
  <Override PartName="/xl/drawings/drawing11.xml" ContentType="application/vnd.openxmlformats-officedocument.drawing+xml"/>
  <Override PartName="/xl/slicers/slicer8.bin" ContentType="application/vnd.ms-excel.slicer"/>
  <Override PartName="/xl/pivotTables/pivotTable23.bin" ContentType="application/vnd.ms-excel.pivotTable"/>
  <Override PartName="/xl/pivotTables/pivotTable24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microsoft.com/office/2007/relationships/slicerCache" Target="slicerCaches/slicerCache3.bin"/><Relationship Id="rId21" Type="http://schemas.openxmlformats.org/officeDocument/2006/relationships/pivotCacheDefinition" Target="pivotCache/pivotCacheDefinition4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7/relationships/slicerCache" Target="slicerCaches/slicerCache2.bin"/><Relationship Id="rId33" Type="http://schemas.microsoft.com/office/2007/relationships/slicerCache" Target="slicerCaches/slicerCache10.bin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microsoft.com/office/2007/relationships/slicerCache" Target="slicerCaches/slicerCache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7/relationships/slicerCache" Target="slicerCaches/slicerCache1.bin"/><Relationship Id="rId32" Type="http://schemas.microsoft.com/office/2007/relationships/slicerCache" Target="slicerCaches/slicerCache9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microsoft.com/office/2007/relationships/slicerCache" Target="slicerCaches/slicerCache5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7/relationships/slicerCache" Target="slicerCaches/slicerCache8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microsoft.com/office/2007/relationships/slicerCache" Target="slicerCaches/slicerCache4.bin"/><Relationship Id="rId30" Type="http://schemas.microsoft.com/office/2007/relationships/slicerCache" Target="slicerCaches/slicerCache7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>
                <a:solidFill>
                  <a:sysClr val="windowText" lastClr="000000"/>
                </a:solidFill>
              </a:rPr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AGE!$B$2</c:f>
              <c:strCache>
                <c:ptCount val="1"/>
                <c:pt idx="0">
                  <c:v>Volume m³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AGE!$B$3:$B$6</c:f>
              <c:numCache>
                <c:formatCode>#,##0.00"m³"</c:formatCode>
                <c:ptCount val="4"/>
                <c:pt idx="0">
                  <c:v>238.30549999999994</c:v>
                </c:pt>
                <c:pt idx="1">
                  <c:v>63.195375000000006</c:v>
                </c:pt>
                <c:pt idx="2">
                  <c:v>84.872500000000002</c:v>
                </c:pt>
                <c:pt idx="3">
                  <c:v>62.878449999999987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C91-BD8E-2F4B4EAD92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-116968048"/>
        <c:axId val="-116965328"/>
      </c:barChart>
      <c:lineChart>
        <c:grouping val="standard"/>
        <c:varyColors val="0"/>
        <c:ser>
          <c:idx val="1"/>
          <c:order val="1"/>
          <c:tx>
            <c:strRef>
              <c:f>AGE!$D$2</c:f>
              <c:strCache>
                <c:ptCount val="1"/>
                <c:pt idx="0">
                  <c:v>% Volume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AGE!$D$3:$D$6</c:f>
              <c:numCache>
                <c:formatCode>0.00%</c:formatCode>
                <c:ptCount val="4"/>
                <c:pt idx="0">
                  <c:v>0.53044970935844271</c:v>
                </c:pt>
                <c:pt idx="1">
                  <c:v>0.14066804291780008</c:v>
                </c:pt>
                <c:pt idx="2">
                  <c:v>0.1889196554738537</c:v>
                </c:pt>
                <c:pt idx="3">
                  <c:v>0.13996259224990348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FA-4C91-BD8E-2F4B4EAD92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6959344"/>
        <c:axId val="-116963696"/>
      </c:lineChart>
      <c:catAx>
        <c:axId val="-1169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16965328"/>
        <c:crosses val="autoZero"/>
        <c:auto val="1"/>
        <c:lblAlgn val="ctr"/>
        <c:lblOffset val="100"/>
        <c:noMultiLvlLbl val="0"/>
      </c:catAx>
      <c:valAx>
        <c:axId val="-116965328"/>
        <c:scaling>
          <c:orientation val="minMax"/>
        </c:scaling>
        <c:delete val="0"/>
        <c:axPos val="l"/>
        <c:numFmt formatCode="#,##0.00&quot;m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16968048"/>
        <c:crosses val="autoZero"/>
        <c:crossBetween val="between"/>
      </c:valAx>
      <c:valAx>
        <c:axId val="-11696369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16959344"/>
        <c:crosses val="max"/>
        <c:crossBetween val="between"/>
      </c:valAx>
      <c:catAx>
        <c:axId val="-116959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16963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>
                <a:solidFill>
                  <a:sysClr val="windowText" lastClr="000000"/>
                </a:solidFill>
              </a:rPr>
              <a:t>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AGE!$C$2</c:f>
              <c:strCache>
                <c:ptCount val="1"/>
                <c:pt idx="0">
                  <c:v>R$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AGE!$C$3:$C$6</c:f>
              <c:numCache>
                <c:formatCode>_("R$"* #,##0.00_);_("R$"* \(#,##0.00\);_("R$"* "-"??_);_(@_)</c:formatCode>
                <c:ptCount val="4"/>
                <c:pt idx="0">
                  <c:v>1144702.4844928</c:v>
                </c:pt>
                <c:pt idx="1">
                  <c:v>552111.12708140002</c:v>
                </c:pt>
                <c:pt idx="2">
                  <c:v>689009.71727614373</c:v>
                </c:pt>
                <c:pt idx="3">
                  <c:v>235432.95850400004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FE-40AC-9907-1E679A6C9B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-120855248"/>
        <c:axId val="-120854160"/>
      </c:barChart>
      <c:lineChart>
        <c:grouping val="standard"/>
        <c:varyColors val="0"/>
        <c:ser>
          <c:idx val="1"/>
          <c:order val="1"/>
          <c:tx>
            <c:strRef>
              <c:f>AGE!$E$2</c:f>
              <c:strCache>
                <c:ptCount val="1"/>
                <c:pt idx="0">
                  <c:v>% R$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AGE!$E$3:$E$6</c:f>
              <c:numCache>
                <c:formatCode>0.00%</c:formatCode>
                <c:ptCount val="4"/>
                <c:pt idx="0">
                  <c:v>0.43669994804214957</c:v>
                </c:pt>
                <c:pt idx="1">
                  <c:v>0.21062844169222783</c:v>
                </c:pt>
                <c:pt idx="2">
                  <c:v>0.26285476952410747</c:v>
                </c:pt>
                <c:pt idx="3">
                  <c:v>8.9816840741515011E-2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BFE-40AC-9907-1E679A6C9B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20544544"/>
        <c:axId val="-120853616"/>
      </c:lineChart>
      <c:catAx>
        <c:axId val="-12085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20854160"/>
        <c:crosses val="autoZero"/>
        <c:auto val="1"/>
        <c:lblAlgn val="ctr"/>
        <c:lblOffset val="100"/>
        <c:noMultiLvlLbl val="0"/>
      </c:catAx>
      <c:valAx>
        <c:axId val="-120854160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20855248"/>
        <c:crosses val="autoZero"/>
        <c:crossBetween val="between"/>
      </c:valAx>
      <c:valAx>
        <c:axId val="-12085361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20544544"/>
        <c:crosses val="max"/>
        <c:crossBetween val="between"/>
      </c:valAx>
      <c:catAx>
        <c:axId val="-120544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20853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TIPOLOGIA!$B$2</c:f>
              <c:strCache>
                <c:ptCount val="1"/>
                <c:pt idx="0">
                  <c:v>M³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TIPOLOGIA!$B$3:$B$6</c:f>
              <c:numCache>
                <c:formatCode>#,##0.00</c:formatCode>
                <c:ptCount val="4"/>
                <c:pt idx="0">
                  <c:v>176.08762499999997</c:v>
                </c:pt>
                <c:pt idx="1">
                  <c:v>0</c:v>
                </c:pt>
                <c:pt idx="2">
                  <c:v>217.94695000000002</c:v>
                </c:pt>
                <c:pt idx="3">
                  <c:v>55.217249999999993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A-4F32-9C54-52E5D952F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-120551072"/>
        <c:axId val="-120550528"/>
      </c:barChart>
      <c:lineChart>
        <c:grouping val="standard"/>
        <c:varyColors val="0"/>
        <c:ser>
          <c:idx val="1"/>
          <c:order val="1"/>
          <c:tx>
            <c:strRef>
              <c:f>TIPOLOGIA!$D$2</c:f>
              <c:strCache>
                <c:ptCount val="1"/>
                <c:pt idx="0">
                  <c:v>% M³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7130760287548407E-2"/>
                  <c:y val="-0.1732987022455527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9A-4F32-9C54-52E5D952F7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TIPOLOGIA!$D$3:$D$6</c:f>
              <c:numCache>
                <c:formatCode>0.00%</c:formatCode>
                <c:ptCount val="4"/>
                <c:pt idx="0">
                  <c:v>0.39195750623828846</c:v>
                </c:pt>
                <c:pt idx="1">
                  <c:v>0</c:v>
                </c:pt>
                <c:pt idx="2">
                  <c:v>0.48513314330999102</c:v>
                </c:pt>
                <c:pt idx="3">
                  <c:v>0.12290935045172047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C9A-4F32-9C54-52E5D952F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004586128"/>
        <c:axId val="-2004576880"/>
      </c:lineChart>
      <c:catAx>
        <c:axId val="-12055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20550528"/>
        <c:crosses val="autoZero"/>
        <c:auto val="1"/>
        <c:lblAlgn val="ctr"/>
        <c:lblOffset val="100"/>
        <c:noMultiLvlLbl val="0"/>
      </c:catAx>
      <c:valAx>
        <c:axId val="-12055052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20551072"/>
        <c:crosses val="autoZero"/>
        <c:crossBetween val="between"/>
      </c:valAx>
      <c:valAx>
        <c:axId val="-200457688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2004586128"/>
        <c:crosses val="max"/>
        <c:crossBetween val="between"/>
      </c:valAx>
      <c:catAx>
        <c:axId val="-2004586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004576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/>
              <a:t>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TIPOLOGIA!$C$2</c:f>
              <c:strCache>
                <c:ptCount val="1"/>
                <c:pt idx="0">
                  <c:v>R$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TIPOLOGIA!$C$3:$C$6</c:f>
              <c:numCache>
                <c:formatCode>_("R$"* #,##0.00_);_("R$"* \(#,##0.00\);_("R$"* "-"??_);_(@_)</c:formatCode>
                <c:ptCount val="4"/>
                <c:pt idx="0">
                  <c:v>466846.84573660005</c:v>
                </c:pt>
                <c:pt idx="1">
                  <c:v>0</c:v>
                </c:pt>
                <c:pt idx="2">
                  <c:v>1924312.731171028</c:v>
                </c:pt>
                <c:pt idx="3">
                  <c:v>230096.7104467155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6-4FD6-8B8C-4E5C16EAC5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-2004585040"/>
        <c:axId val="-1991892800"/>
      </c:barChart>
      <c:lineChart>
        <c:grouping val="standard"/>
        <c:varyColors val="0"/>
        <c:ser>
          <c:idx val="1"/>
          <c:order val="1"/>
          <c:tx>
            <c:strRef>
              <c:f>TIPOLOGIA!$E$2</c:f>
              <c:strCache>
                <c:ptCount val="1"/>
                <c:pt idx="0">
                  <c:v>% R$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5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3558661352681554E-2"/>
                  <c:y val="-0.1732987022455526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6-4FD6-8B8C-4E5C16EAC5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TIPOLOGIA!$E$3:$E$6</c:f>
              <c:numCache>
                <c:formatCode>0.00%</c:formatCode>
                <c:ptCount val="4"/>
                <c:pt idx="0">
                  <c:v>0.17810042001188392</c:v>
                </c:pt>
                <c:pt idx="1">
                  <c:v>0</c:v>
                </c:pt>
                <c:pt idx="2">
                  <c:v>0.7341184990015811</c:v>
                </c:pt>
                <c:pt idx="3">
                  <c:v>8.7781080986534921E-2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BD6-4FD6-8B8C-4E5C16EAC5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91892256"/>
        <c:axId val="-1991901504"/>
      </c:lineChart>
      <c:catAx>
        <c:axId val="-200458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991892800"/>
        <c:crosses val="autoZero"/>
        <c:auto val="1"/>
        <c:lblAlgn val="ctr"/>
        <c:lblOffset val="100"/>
        <c:noMultiLvlLbl val="0"/>
      </c:catAx>
      <c:valAx>
        <c:axId val="-1991892800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2004585040"/>
        <c:crosses val="autoZero"/>
        <c:crossBetween val="between"/>
      </c:valAx>
      <c:valAx>
        <c:axId val="-199190150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-1991892256"/>
        <c:crosses val="max"/>
        <c:crossBetween val="between"/>
      </c:valAx>
      <c:catAx>
        <c:axId val="-1991892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1901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2</xdr:row>
      <xdr:rowOff>52387</xdr:rowOff>
    </xdr:from>
    <xdr:to>
      <xdr:col>0</xdr:col>
      <xdr:colOff>2088357</xdr:colOff>
      <xdr:row>7</xdr:row>
      <xdr:rowOff>169066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E80953-4ABE-4B83-AE9E-585B0846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409575"/>
          <a:ext cx="1878807" cy="1033460"/>
        </a:xfrm>
        <a:prstGeom prst="rect">
          <a:avLst/>
        </a:prstGeom>
      </xdr:spPr>
    </xdr:pic>
    <xdr:clientData/>
  </xdr:twoCellAnchor>
  <xdr:twoCellAnchor>
    <xdr:from>
      <xdr:col>0</xdr:col>
      <xdr:colOff>1500185</xdr:colOff>
      <xdr:row>0</xdr:row>
      <xdr:rowOff>1</xdr:rowOff>
    </xdr:from>
    <xdr:to>
      <xdr:col>0</xdr:col>
      <xdr:colOff>1797843</xdr:colOff>
      <xdr:row>1</xdr:row>
      <xdr:rowOff>0</xdr:rowOff>
    </xdr:to>
    <xdr:sp macro="" textlink="">
      <xdr:nvSpPr>
        <xdr:cNvPr id="3" name="Sinal de Multiplicação 2">
          <a:extLst>
            <a:ext uri="{FF2B5EF4-FFF2-40B4-BE49-F238E27FC236}">
              <a16:creationId xmlns:a16="http://schemas.microsoft.com/office/drawing/2014/main" id="{EAD46FD9-F567-48FC-9C99-E1BC082158A9}"/>
            </a:ext>
          </a:extLst>
        </xdr:cNvPr>
        <xdr:cNvSpPr/>
      </xdr:nvSpPr>
      <xdr:spPr>
        <a:xfrm>
          <a:off x="1500185" y="1"/>
          <a:ext cx="297658" cy="178593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1533184</xdr:colOff>
      <xdr:row>0</xdr:row>
      <xdr:rowOff>135811</xdr:rowOff>
    </xdr:from>
    <xdr:to>
      <xdr:col>0</xdr:col>
      <xdr:colOff>1774854</xdr:colOff>
      <xdr:row>1</xdr:row>
      <xdr:rowOff>118710</xdr:rowOff>
    </xdr:to>
    <xdr:sp macro="" textlink="">
      <xdr:nvSpPr>
        <xdr:cNvPr id="4" name="Meio-quadro 3">
          <a:extLst>
            <a:ext uri="{FF2B5EF4-FFF2-40B4-BE49-F238E27FC236}">
              <a16:creationId xmlns:a16="http://schemas.microsoft.com/office/drawing/2014/main" id="{C49DD7C7-662E-43E8-8965-E1175C71D3F1}"/>
            </a:ext>
          </a:extLst>
        </xdr:cNvPr>
        <xdr:cNvSpPr/>
      </xdr:nvSpPr>
      <xdr:spPr>
        <a:xfrm rot="13298007">
          <a:off x="5497965" y="135811"/>
          <a:ext cx="241670" cy="161493"/>
        </a:xfrm>
        <a:prstGeom prst="halfFram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523873</xdr:colOff>
      <xdr:row>0</xdr:row>
      <xdr:rowOff>0</xdr:rowOff>
    </xdr:from>
    <xdr:to>
      <xdr:col>4</xdr:col>
      <xdr:colOff>497680</xdr:colOff>
      <xdr:row>6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SITUAÇÃO">
              <a:extLst>
                <a:ext uri="{FF2B5EF4-FFF2-40B4-BE49-F238E27FC236}">
                  <a16:creationId xmlns:a16="http://schemas.microsoft.com/office/drawing/2014/main" id="{1C81CED6-732F-C04B-1332-B5880EB8BE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2748" y="0"/>
              <a:ext cx="6450807" cy="1178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2</xdr:row>
      <xdr:rowOff>114300</xdr:rowOff>
    </xdr:from>
    <xdr:to>
      <xdr:col>10</xdr:col>
      <xdr:colOff>628650</xdr:colOff>
      <xdr:row>16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RANSPORTADOR">
              <a:extLst>
                <a:ext uri="{FF2B5EF4-FFF2-40B4-BE49-F238E27FC236}">
                  <a16:creationId xmlns:a16="http://schemas.microsoft.com/office/drawing/2014/main" id="{58458BCE-0935-2E5E-5975-C9F98EE246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PORT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0033" y="474133"/>
              <a:ext cx="1833034" cy="265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188117</xdr:colOff>
      <xdr:row>3</xdr:row>
      <xdr:rowOff>133348</xdr:rowOff>
    </xdr:from>
    <xdr:to>
      <xdr:col>0</xdr:col>
      <xdr:colOff>2512218</xdr:colOff>
      <xdr:row>18</xdr:row>
      <xdr:rowOff>73816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TUAÇÃO 1">
              <a:extLst>
                <a:ext uri="{FF2B5EF4-FFF2-40B4-BE49-F238E27FC236}">
                  <a16:creationId xmlns:a16="http://schemas.microsoft.com/office/drawing/2014/main" id="{C62EDC1A-97EC-D9FB-4ABC-F7B913347D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117" y="716754"/>
              <a:ext cx="2324101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321469</xdr:colOff>
      <xdr:row>1</xdr:row>
      <xdr:rowOff>23812</xdr:rowOff>
    </xdr:from>
    <xdr:to>
      <xdr:col>0</xdr:col>
      <xdr:colOff>1833562</xdr:colOff>
      <xdr:row>3</xdr:row>
      <xdr:rowOff>0</xdr:rowOff>
    </xdr:to>
    <xdr:sp macro="[0]!PlanBloc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B724341-3F8E-50CC-A6A5-78211B9CD458}"/>
            </a:ext>
          </a:extLst>
        </xdr:cNvPr>
        <xdr:cNvSpPr/>
      </xdr:nvSpPr>
      <xdr:spPr>
        <a:xfrm>
          <a:off x="321469" y="202406"/>
          <a:ext cx="1512093" cy="381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176212</xdr:colOff>
      <xdr:row>18</xdr:row>
      <xdr:rowOff>119062</xdr:rowOff>
    </xdr:from>
    <xdr:to>
      <xdr:col>0</xdr:col>
      <xdr:colOff>2488405</xdr:colOff>
      <xdr:row>33</xdr:row>
      <xdr:rowOff>107156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LOGIA">
              <a:extLst>
                <a:ext uri="{FF2B5EF4-FFF2-40B4-BE49-F238E27FC236}">
                  <a16:creationId xmlns:a16="http://schemas.microsoft.com/office/drawing/2014/main" id="{9A21F495-FDE1-AB4A-C9CF-DD6D841C50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LOG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2" y="3607593"/>
              <a:ext cx="2312193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273841</xdr:colOff>
      <xdr:row>0</xdr:row>
      <xdr:rowOff>130969</xdr:rowOff>
    </xdr:from>
    <xdr:to>
      <xdr:col>9</xdr:col>
      <xdr:colOff>1045366</xdr:colOff>
      <xdr:row>2</xdr:row>
      <xdr:rowOff>150018</xdr:rowOff>
    </xdr:to>
    <xdr:sp macro="[0]!PlanBloc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38F43A-80EF-4C65-9671-126604A25ECE}"/>
            </a:ext>
          </a:extLst>
        </xdr:cNvPr>
        <xdr:cNvSpPr/>
      </xdr:nvSpPr>
      <xdr:spPr>
        <a:xfrm>
          <a:off x="12275341" y="130969"/>
          <a:ext cx="2152650" cy="376237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452437</xdr:colOff>
      <xdr:row>0</xdr:row>
      <xdr:rowOff>145256</xdr:rowOff>
    </xdr:from>
    <xdr:to>
      <xdr:col>1</xdr:col>
      <xdr:colOff>1400174</xdr:colOff>
      <xdr:row>15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EMISSÃO NF BLOCO">
              <a:extLst>
                <a:ext uri="{FF2B5EF4-FFF2-40B4-BE49-F238E27FC236}">
                  <a16:creationId xmlns:a16="http://schemas.microsoft.com/office/drawing/2014/main" id="{441BE44E-70BE-2498-93BC-7BE8C78D97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EMISSÃO NF BLO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2437" y="145256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</xdr:row>
      <xdr:rowOff>114300</xdr:rowOff>
    </xdr:from>
    <xdr:to>
      <xdr:col>2</xdr:col>
      <xdr:colOff>466725</xdr:colOff>
      <xdr:row>14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">
              <a:extLst>
                <a:ext uri="{FF2B5EF4-FFF2-40B4-BE49-F238E27FC236}">
                  <a16:creationId xmlns:a16="http://schemas.microsoft.com/office/drawing/2014/main" id="{3B1A7722-DA57-F5FB-ABA3-84845126D6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471488"/>
              <a:ext cx="1838325" cy="26312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13</xdr:row>
      <xdr:rowOff>23813</xdr:rowOff>
    </xdr:from>
    <xdr:to>
      <xdr:col>17</xdr:col>
      <xdr:colOff>0</xdr:colOff>
      <xdr:row>28</xdr:row>
      <xdr:rowOff>88106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8047C-B439-E823-4011-997A2F664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28</xdr:row>
      <xdr:rowOff>166685</xdr:rowOff>
    </xdr:from>
    <xdr:to>
      <xdr:col>17</xdr:col>
      <xdr:colOff>0</xdr:colOff>
      <xdr:row>44</xdr:row>
      <xdr:rowOff>52385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EB7476-4D7D-95A9-D9F8-DB919699B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51202</xdr:rowOff>
    </xdr:from>
    <xdr:to>
      <xdr:col>18</xdr:col>
      <xdr:colOff>0</xdr:colOff>
      <xdr:row>16</xdr:row>
      <xdr:rowOff>67871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A75AB7-149A-9965-6F14-388691144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122640</xdr:rowOff>
    </xdr:from>
    <xdr:to>
      <xdr:col>18</xdr:col>
      <xdr:colOff>0</xdr:colOff>
      <xdr:row>32</xdr:row>
      <xdr:rowOff>44340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5B0615-807B-CD1E-F3C2-C83BE3596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3</xdr:row>
      <xdr:rowOff>76200</xdr:rowOff>
    </xdr:from>
    <xdr:to>
      <xdr:col>0</xdr:col>
      <xdr:colOff>2821780</xdr:colOff>
      <xdr:row>17</xdr:row>
      <xdr:rowOff>28576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 1">
              <a:extLst>
                <a:ext uri="{FF2B5EF4-FFF2-40B4-BE49-F238E27FC236}">
                  <a16:creationId xmlns:a16="http://schemas.microsoft.com/office/drawing/2014/main" id="{A694EB75-40F5-FA18-630F-FE54BAC724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659606"/>
              <a:ext cx="2669381" cy="26312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1095375</xdr:colOff>
      <xdr:row>5</xdr:row>
      <xdr:rowOff>95250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218F391-A989-C1E6-2B94-EC265F1C4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3059906" cy="104774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200023</xdr:colOff>
      <xdr:row>4</xdr:row>
      <xdr:rowOff>61912</xdr:rowOff>
    </xdr:from>
    <xdr:to>
      <xdr:col>9</xdr:col>
      <xdr:colOff>559592</xdr:colOff>
      <xdr:row>18</xdr:row>
      <xdr:rowOff>50006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 2">
              <a:extLst>
                <a:ext uri="{FF2B5EF4-FFF2-40B4-BE49-F238E27FC236}">
                  <a16:creationId xmlns:a16="http://schemas.microsoft.com/office/drawing/2014/main" id="{F83B200F-18E1-6768-0376-BF9D080675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74742" y="823912"/>
              <a:ext cx="312181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188117</xdr:colOff>
      <xdr:row>3</xdr:row>
      <xdr:rowOff>133348</xdr:rowOff>
    </xdr:from>
    <xdr:to>
      <xdr:col>0</xdr:col>
      <xdr:colOff>2512218</xdr:colOff>
      <xdr:row>18</xdr:row>
      <xdr:rowOff>73816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TUAÇÃO 2">
              <a:extLst>
                <a:ext uri="{FF2B5EF4-FFF2-40B4-BE49-F238E27FC236}">
                  <a16:creationId xmlns:a16="http://schemas.microsoft.com/office/drawing/2014/main" id="{195F0825-7437-4B30-9F5A-94AF558198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117" y="716754"/>
              <a:ext cx="2324101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321469</xdr:colOff>
      <xdr:row>1</xdr:row>
      <xdr:rowOff>23812</xdr:rowOff>
    </xdr:from>
    <xdr:to>
      <xdr:col>0</xdr:col>
      <xdr:colOff>1833562</xdr:colOff>
      <xdr:row>3</xdr:row>
      <xdr:rowOff>0</xdr:rowOff>
    </xdr:to>
    <xdr:sp macro="[0]!PlanBloc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D633EA-11D0-4366-A0E2-51374CB4F33B}"/>
            </a:ext>
          </a:extLst>
        </xdr:cNvPr>
        <xdr:cNvSpPr/>
      </xdr:nvSpPr>
      <xdr:spPr>
        <a:xfrm>
          <a:off x="321469" y="204787"/>
          <a:ext cx="1512093" cy="3857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176212</xdr:colOff>
      <xdr:row>18</xdr:row>
      <xdr:rowOff>119062</xdr:rowOff>
    </xdr:from>
    <xdr:to>
      <xdr:col>0</xdr:col>
      <xdr:colOff>2488405</xdr:colOff>
      <xdr:row>33</xdr:row>
      <xdr:rowOff>107156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LOGIA 1">
              <a:extLst>
                <a:ext uri="{FF2B5EF4-FFF2-40B4-BE49-F238E27FC236}">
                  <a16:creationId xmlns:a16="http://schemas.microsoft.com/office/drawing/2014/main" id="{570FA8A7-D534-4A81-B281-0312B5E456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LOG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2" y="3429000"/>
              <a:ext cx="2312193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07/relationships/slicer" Target="../slicers/slicer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microsoft.com/office/2007/relationships/slicer" Target="../slicers/slicer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Relationship Id="rId4" Type="http://schemas.microsoft.com/office/2007/relationships/slicer" Target="../slicers/slicer4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4" Type="http://schemas.microsoft.com/office/2007/relationships/slicer" Target="../slicers/slicer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10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16.bin"/><Relationship Id="rId1" Type="http://schemas.microsoft.com/office/2006/relationships/xlBinaryIndex" Target="binaryIndex11.bin"/><Relationship Id="rId4" Type="http://schemas.microsoft.com/office/2007/relationships/slicer" Target="../slicers/slicer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bin"/><Relationship Id="rId2" Type="http://schemas.openxmlformats.org/officeDocument/2006/relationships/pivotTable" Target="../pivotTables/pivotTable18.bin"/><Relationship Id="rId1" Type="http://schemas.microsoft.com/office/2006/relationships/xlBinaryIndex" Target="binaryIndex13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20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1.bin"/><Relationship Id="rId1" Type="http://schemas.microsoft.com/office/2006/relationships/xlBinaryIndex" Target="binaryIndex14.bin"/><Relationship Id="rId5" Type="http://schemas.microsoft.com/office/2007/relationships/slicer" Target="../slicers/slicer7.bin"/><Relationship Id="rId4" Type="http://schemas.openxmlformats.org/officeDocument/2006/relationships/drawing" Target="../drawings/drawing10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22.bin"/><Relationship Id="rId1" Type="http://schemas.microsoft.com/office/2006/relationships/xlBinaryIndex" Target="binaryIndex15.bin"/><Relationship Id="rId4" Type="http://schemas.microsoft.com/office/2007/relationships/slicer" Target="../slicers/slicer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bin"/><Relationship Id="rId2" Type="http://schemas.openxmlformats.org/officeDocument/2006/relationships/pivotTable" Target="../pivotTables/pivotTable2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PLAN. BLOCOS</vt:lpstr>
      <vt:lpstr>BLOCOS EM TRANSPORTE</vt:lpstr>
      <vt:lpstr>SERRADA EXTERNA</vt:lpstr>
      <vt:lpstr>COMPRA DE CHAPAS</vt:lpstr>
      <vt:lpstr>ESTOQUE BLOCOS</vt:lpstr>
      <vt:lpstr>R$ MARCAÇÕES</vt:lpstr>
      <vt:lpstr>ORDEM DE TRANSPORTE</vt:lpstr>
      <vt:lpstr>AGE</vt:lpstr>
      <vt:lpstr>TIPOLOGIA</vt:lpstr>
      <vt:lpstr>AGE RESUMO</vt:lpstr>
      <vt:lpstr>CICLOS MÉDIOS DE PRODUÇÃO</vt:lpstr>
      <vt:lpstr>SERRADA - REPORT COMERCIAL</vt:lpstr>
      <vt:lpstr>CICLO - BLOCOS PEND. ENTREGA</vt:lpstr>
      <vt:lpstr>TEMPO TRANSPORTE</vt:lpstr>
      <vt:lpstr>ESTOQ. BLOCS</vt:lpstr>
      <vt:lpstr>CUSTOS MATERIAIS - EMEG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denise costa</dc:creator>
  <cp:lastModifiedBy>denise costa</cp:lastModifiedBy>
  <cp:lastPrinted>2026-04-30T12:59:53Z</cp:lastPrinted>
  <dcterms:created xsi:type="dcterms:W3CDTF">2025-06-24T14:53:08Z</dcterms:created>
  <dcterms:modified xsi:type="dcterms:W3CDTF">2026-05-21T11:07:56Z</dcterms:modified>
</cp:coreProperties>
</file>